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camil\OneDrive\Documentos\DUOC\Capstone\"/>
    </mc:Choice>
  </mc:AlternateContent>
  <xr:revisionPtr revIDLastSave="0" documentId="13_ncr:1_{92B553E2-F333-41AB-84CA-5BD276ABEFEF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Resumen" sheetId="1" r:id="rId1"/>
    <sheet name="Carta Gantt" sheetId="2" r:id="rId2"/>
    <sheet name="Detalle y evidencias" sheetId="3" r:id="rId3"/>
    <sheet name="Ajustes F1-F2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5" i="3" l="1"/>
  <c r="G24" i="3"/>
  <c r="G23" i="3"/>
  <c r="G22" i="3"/>
  <c r="G21" i="3"/>
  <c r="G20" i="3"/>
  <c r="G19" i="3"/>
  <c r="G18" i="3"/>
  <c r="G17" i="3"/>
  <c r="G16" i="3"/>
  <c r="G15" i="3"/>
  <c r="G14" i="3"/>
  <c r="G13" i="3"/>
  <c r="G12" i="3"/>
  <c r="G11" i="3"/>
  <c r="G10" i="3"/>
  <c r="G9" i="3"/>
  <c r="G8" i="3"/>
  <c r="G7" i="3"/>
  <c r="G6" i="3"/>
  <c r="G5" i="3"/>
  <c r="G26" i="2"/>
  <c r="G25" i="2"/>
  <c r="G24" i="2"/>
  <c r="G23" i="2"/>
  <c r="G22" i="2"/>
  <c r="G21" i="2"/>
  <c r="G20" i="2"/>
  <c r="G19" i="2"/>
  <c r="G18" i="2"/>
  <c r="G17" i="2"/>
  <c r="G16" i="2"/>
  <c r="G15" i="2"/>
  <c r="G14" i="2"/>
  <c r="G13" i="2"/>
  <c r="G12" i="2"/>
  <c r="G11" i="2"/>
  <c r="G10" i="2"/>
  <c r="G9" i="2"/>
  <c r="G8" i="2"/>
  <c r="G7" i="2"/>
  <c r="G6" i="2"/>
  <c r="E8" i="1"/>
  <c r="E7" i="1"/>
  <c r="E6" i="1"/>
  <c r="E5" i="1"/>
</calcChain>
</file>

<file path=xl/sharedStrings.xml><?xml version="1.0" encoding="utf-8"?>
<sst xmlns="http://schemas.openxmlformats.org/spreadsheetml/2006/main" count="412" uniqueCount="236">
  <si>
    <t>CARTA GANTT | PROYECTO APT FINFLOW</t>
  </si>
  <si>
    <t>Plan consolidado de 18 semanas | Fases 1, 2 y 3 | Basado en los documentos entregados</t>
  </si>
  <si>
    <t>Duración del plan</t>
  </si>
  <si>
    <t>18 semanas</t>
  </si>
  <si>
    <t>Estado documentado</t>
  </si>
  <si>
    <t>Cantidad de tareas</t>
  </si>
  <si>
    <t>Fase 1 (distribución propuesta)</t>
  </si>
  <si>
    <t>S1-S3</t>
  </si>
  <si>
    <t>Completado</t>
  </si>
  <si>
    <t>Fase 2 (distribución propuesta)</t>
  </si>
  <si>
    <t>S4-S10</t>
  </si>
  <si>
    <t>En curso</t>
  </si>
  <si>
    <t>Fase 3 (distribución propuesta)</t>
  </si>
  <si>
    <t>S11-S18</t>
  </si>
  <si>
    <t>Planificado</t>
  </si>
  <si>
    <t>Condicionado</t>
  </si>
  <si>
    <t>Criterios de lectura</t>
  </si>
  <si>
    <t>Importante: la Fase 1 contiene el calendario inicial y la Fase 2 registra avances, duraciones y ajustes, pero no aporta fechas calendario ni semanas reales para todas las actividades. Por eso, las semanas de este Gantt son una distribución propuesta para ordenar el plan consolidado; no deben interpretarse como fechas reales de ejecución. Los estados se toman del documento de Fase 2 cuando están informados. Las tareas de cierre y pruebas se presentan como planificación recomendada.</t>
  </si>
  <si>
    <t>Próximos focos recomendados</t>
  </si>
  <si>
    <t>1.</t>
  </si>
  <si>
    <t>Cerrar el clasificador NLP de cuatro categorías y documentar pruebas.</t>
  </si>
  <si>
    <t>2.</t>
  </si>
  <si>
    <t>Completar y validar la proyección de saldo a cuatro semanas.</t>
  </si>
  <si>
    <t>3.</t>
  </si>
  <si>
    <t>Finalizar el dashboard responsivo e integrar los componentes.</t>
  </si>
  <si>
    <t>4.</t>
  </si>
  <si>
    <t>Reunir capturas, resultados de pruebas, documentación y commits de cada integrante.</t>
  </si>
  <si>
    <t>Fuentes: Guía Estudiante - Definición Proyecto APT, Fase 1; guía de Desarrollo Proyecto APT, Fase 2; rúbrica aportada en la conversación. Las semanas exactas y fechas calendario deben confirmarse con el equipo/docente.</t>
  </si>
  <si>
    <t>CARTA GANTT CONSOLIDADA | FINFLOW</t>
  </si>
  <si>
    <t>Leyenda: Verde = completado | Azul = en curso | Gris = planificado | Naranja = condicionado a aprobación / acceso externo</t>
  </si>
  <si>
    <t>ACTIVIDAD Y SEGUIMIENTO</t>
  </si>
  <si>
    <t>FASE 1 | S1-S3</t>
  </si>
  <si>
    <t>FASE 2 | S4-S10</t>
  </si>
  <si>
    <t>FASE 3 | S11-S18</t>
  </si>
  <si>
    <t>ID</t>
  </si>
  <si>
    <t>Actividad / etapa</t>
  </si>
  <si>
    <t>Responsable</t>
  </si>
  <si>
    <t>Estado</t>
  </si>
  <si>
    <t>Inicio
(Sem.)</t>
  </si>
  <si>
    <t>Fin
(Sem.)</t>
  </si>
  <si>
    <t>Duración
(semanas)</t>
  </si>
  <si>
    <t>S1</t>
  </si>
  <si>
    <t>S2</t>
  </si>
  <si>
    <t>S3</t>
  </si>
  <si>
    <t>S4</t>
  </si>
  <si>
    <t>S5</t>
  </si>
  <si>
    <t>S6</t>
  </si>
  <si>
    <t>S7</t>
  </si>
  <si>
    <t>S8</t>
  </si>
  <si>
    <t>S9</t>
  </si>
  <si>
    <t>S10</t>
  </si>
  <si>
    <t>S11</t>
  </si>
  <si>
    <t>S12</t>
  </si>
  <si>
    <t>S13</t>
  </si>
  <si>
    <t>S14</t>
  </si>
  <si>
    <t>S15</t>
  </si>
  <si>
    <t>S16</t>
  </si>
  <si>
    <t>S17</t>
  </si>
  <si>
    <t>S18</t>
  </si>
  <si>
    <t>01</t>
  </si>
  <si>
    <t>Definir el problema, el alcance, los objetivos y las competencias del Proyecto APT</t>
  </si>
  <si>
    <t>Equipo APT</t>
  </si>
  <si>
    <t>X</t>
  </si>
  <si>
    <t>02</t>
  </si>
  <si>
    <t>Definir metodología ágil, roles, recursos y forma de coordinación del equipo</t>
  </si>
  <si>
    <t>03</t>
  </si>
  <si>
    <t>Preparar el plan de trabajo inicial, los criterios de seguimiento y la Carta Gantt</t>
  </si>
  <si>
    <t>04</t>
  </si>
  <si>
    <t>Investigar la disponibilidad de una API de Banco de Chile y evaluar una alternativa de integración</t>
  </si>
  <si>
    <t>Camilo Ponce</t>
  </si>
  <si>
    <t>05</t>
  </si>
  <si>
    <t>Implementar reglas iniciales para clasificar transacciones y preparar el prototipo base</t>
  </si>
  <si>
    <t>Johan Huamanchumo</t>
  </si>
  <si>
    <t>06</t>
  </si>
  <si>
    <t>Integrar Fintoc mediante backend Node.js, creación de Intent, intercambio de tokens y widget de conexión</t>
  </si>
  <si>
    <t>07</t>
  </si>
  <si>
    <t>Sincronizar cuentas y movimientos con paginación, conversión al formato interno, unión sin duplicados y actualización de saldo</t>
  </si>
  <si>
    <t>08</t>
  </si>
  <si>
    <t>Aplicar medidas de privacidad: llaves en servidor y .env excluido, consentimiento, desconexión/eliminación de datos y carga manual de cartolas como alternativa</t>
  </si>
  <si>
    <t>09</t>
  </si>
  <si>
    <t>Probar el flujo inicial en sandbox: conexión, descarga, visualización en dashboard y actualización sin duplicados</t>
  </si>
  <si>
    <t>Camilo Ponce / equipo</t>
  </si>
  <si>
    <t>10</t>
  </si>
  <si>
    <t>Revisar glosas bancarias ambiguas y preparar/etiquetar ejemplos para mejorar los datos de entrenamiento</t>
  </si>
  <si>
    <t>11</t>
  </si>
  <si>
    <t>Desarrollar y validar el clasificador supervisado NLP para asignar cada transacción a cuatro categorías</t>
  </si>
  <si>
    <t>12</t>
  </si>
  <si>
    <t>Desarrollar el modelo de series temporales para proyectar el saldo a cuatro semanas e incorporar banda de incertidumbre</t>
  </si>
  <si>
    <t>13</t>
  </si>
  <si>
    <t>Completar el dashboard responsivo para PC y móvil, integrando movimientos bancarios y resultados de los modelos</t>
  </si>
  <si>
    <t>Kevin Dionicio</t>
  </si>
  <si>
    <t>14</t>
  </si>
  <si>
    <t>Integrar la solución completa: backend bancario, clasificador NLP, proyección y dashboard</t>
  </si>
  <si>
    <t>15</t>
  </si>
  <si>
    <t>Validar el clasificador y la proyección con datos disponibles, incluyendo cartolas cargadas manualmente; documentar la limitación del sandbox</t>
  </si>
  <si>
    <t>Johan Huamanchumo / Camilo Ponce</t>
  </si>
  <si>
    <t>16</t>
  </si>
  <si>
    <t>Ejecutar pruebas de producto y proceso: funcionales, integración, actualización sin duplicados, manejo de errores y alternativa manual</t>
  </si>
  <si>
    <t>17</t>
  </si>
  <si>
    <t>Corregir defectos y aplicar mejoras a partir de los resultados de pruebas y retroalimentación</t>
  </si>
  <si>
    <t>18</t>
  </si>
  <si>
    <t>Completar documentación técnica: README, arquitectura, instalación/configuración, modelo de datos y guía de pruebas</t>
  </si>
  <si>
    <t>19</t>
  </si>
  <si>
    <t>Organizar evidencias de documentación, aplicación y base de datos; recopilar capturas, resultados y commits individuales</t>
  </si>
  <si>
    <t>20</t>
  </si>
  <si>
    <t>Preparar el paso a producción y gestionar la aprobación de Fintoc para probar cuentas reales, si corresponde</t>
  </si>
  <si>
    <t>21</t>
  </si>
  <si>
    <t>Realizar validación final, cerrar repositorio y documentación, preparar informe de entrega y presentación</t>
  </si>
  <si>
    <t>Nota: la planificación inicial ubicaba la integración de API en S1-S2 y los modelos de machine learning en S1-S3. La Fase 2 reporta ajuste a Fintoc, una actividad de sincronización agregada y componentes todavía en curso. Consulte la hoja 'Ajustes F1-F2'.</t>
  </si>
  <si>
    <t>PLAN DETALLADO, RESPONSABLES Y EVIDENCIAS</t>
  </si>
  <si>
    <t>La duración se calcula a partir de la semana inicial y final. Las evidencias indicadas son entregables sugeridos, que deben completarse con archivos reales.</t>
  </si>
  <si>
    <t>Fase</t>
  </si>
  <si>
    <t>Actividad / tarea</t>
  </si>
  <si>
    <t>Inicio (sem.)</t>
  </si>
  <si>
    <t>Fin (sem.)</t>
  </si>
  <si>
    <t>Duración (sem.)</t>
  </si>
  <si>
    <t>Dependencia / observaciones</t>
  </si>
  <si>
    <t>Evidencia o entregable esperado</t>
  </si>
  <si>
    <t>Fuente / criterio</t>
  </si>
  <si>
    <t>Fase 1</t>
  </si>
  <si>
    <t>Punto de partida del proyecto.</t>
  </si>
  <si>
    <t>Guía de definición del proyecto con nombre, alcance, objetivos y competencias.</t>
  </si>
  <si>
    <t>Fase 1: definición del proyecto.</t>
  </si>
  <si>
    <t>Alineación del equipo y de los objetivos.</t>
  </si>
  <si>
    <t>Descripción de metodología, responsables y recursos.</t>
  </si>
  <si>
    <t>Fase 1: metodología y plan de trabajo.</t>
  </si>
  <si>
    <t>Definición del alcance y de las tareas.</t>
  </si>
  <si>
    <t>Plan de trabajo, Carta Gantt y registro de evidencias acordadas.</t>
  </si>
  <si>
    <t>Fase 1: planificación inicial.</t>
  </si>
  <si>
    <t>Requisito de conexión bancaria.</t>
  </si>
  <si>
    <t>Justificación del cambio de API directa a Fintoc.</t>
  </si>
  <si>
    <t>Fase 1 y ajuste documentado en Fase 2.</t>
  </si>
  <si>
    <t>Disponibilidad de glosas de movimientos.</t>
  </si>
  <si>
    <t>Prototipo con reglas de clasificación funcionando.</t>
  </si>
  <si>
    <t>Fase 2: las reglas ya funcionan en el prototipo.</t>
  </si>
  <si>
    <t>Fase 2</t>
  </si>
  <si>
    <t>Cuenta de prueba y llaves sandbox de Fintoc.</t>
  </si>
  <si>
    <t>Código de integración y capturas del flujo de conexión bancaria.</t>
  </si>
  <si>
    <t>Fase 2: integración completada en 2 semanas.</t>
  </si>
  <si>
    <t>Integración inicial con Fintoc.</t>
  </si>
  <si>
    <t>Prueba de descarga, normalización de movimientos y actualización sin duplicados.</t>
  </si>
  <si>
    <t>Fase 2: actividad agregada y completada en 1 semana.</t>
  </si>
  <si>
    <t>Diseño de conexión bancaria.</t>
  </si>
  <si>
    <t>Configuración segura, consentimiento actualizado y alternativa de carga manual.</t>
  </si>
  <si>
    <t>Fase 2: medidas de seguridad y privacidad documentadas.</t>
  </si>
  <si>
    <t>Actividades de integración y sincronización.</t>
  </si>
  <si>
    <t>Capturas y registro de pruebas del flujo completo en sandbox.</t>
  </si>
  <si>
    <t>Fase 2: pruebas del flujo completo reportadas.</t>
  </si>
  <si>
    <t>Disponibilidad y calidad de movimientos bancarios.</t>
  </si>
  <si>
    <t>Conjunto de transacciones etiquetadas y documentadas.</t>
  </si>
  <si>
    <t>Fase 2: se requieren más datos etiquetados.</t>
  </si>
  <si>
    <t>Datos etiquetados y representación vectorial de texto.</t>
  </si>
  <si>
    <t>Código del clasificador, pruebas y métricas de resultados.</t>
  </si>
  <si>
    <t>Fase 2: actividad en curso, duración planificada de 3 semanas.</t>
  </si>
  <si>
    <t>Historial de movimientos y saldo actual.</t>
  </si>
  <si>
    <t>Modelo, gráfico de proyección y validación con cartolas disponibles.</t>
  </si>
  <si>
    <t>Integración bancaria y salidas de los modelos.</t>
  </si>
  <si>
    <t>Capturas en escritorio y móvil con conexión, actualización y analítica.</t>
  </si>
  <si>
    <t>Fase 2: actividad en curso, duración planificada de 4 semanas.</t>
  </si>
  <si>
    <t>Fase 3</t>
  </si>
  <si>
    <t>Cierre de los componentes en curso.</t>
  </si>
  <si>
    <t>Demostración del flujo integrado desde la conexión hasta la visualización.</t>
  </si>
  <si>
    <t>Paso propuesto para completar la integración.</t>
  </si>
  <si>
    <t>Modelos implementados y datos de validación disponibles.</t>
  </si>
  <si>
    <t>Resultados de validación, casos utilizados y observaciones de precisión.</t>
  </si>
  <si>
    <t>Fase 2: la validación con datos reales está pendiente y el acceso depende de aprobación.</t>
  </si>
  <si>
    <t>Solución integrada.</t>
  </si>
  <si>
    <t>Plan y resultados de pruebas, incidencias detectadas y estado de corrección.</t>
  </si>
  <si>
    <t>Rúbrica: diseñar y aplicar pruebas de validación y certificación.</t>
  </si>
  <si>
    <t>Resultados de pruebas e incidencias.</t>
  </si>
  <si>
    <t>Registro de errores, cambios realizados y nuevas pruebas de verificación.</t>
  </si>
  <si>
    <t>Rúbrica: desarrollar mejoras con base en resultados.</t>
  </si>
  <si>
    <t>Arquitectura y componentes implementados.</t>
  </si>
  <si>
    <t>README actualizado, diagramas, instrucciones y documentación de datos/pruebas.</t>
  </si>
  <si>
    <t>Fase 2: configuración documentada en README; completar documentos finales es una recomendación.</t>
  </si>
  <si>
    <t>Documentación técnica y pruebas disponibles.</t>
  </si>
  <si>
    <t>Carpetas de evidencias y enlaces al repositorio Git con aportes identificables por integrante.</t>
  </si>
  <si>
    <t>Rúbrica: evidencias de documentación, programación, datos y participación en Git.</t>
  </si>
  <si>
    <t>Aprobación de Fintoc y validaciones de seguridad.</t>
  </si>
  <si>
    <t>Pasos de despliegue documentados y evidencia de autorización, si se obtiene.</t>
  </si>
  <si>
    <t>Fase 2: el acceso a cuentas reales requiere aprobación.</t>
  </si>
  <si>
    <t>Pruebas, mejoras y evidencias finalizadas.</t>
  </si>
  <si>
    <t>Entrega final, repositorio actualizado y presentación del proyecto.</t>
  </si>
  <si>
    <t>Paso de cierre propuesto.</t>
  </si>
  <si>
    <t>HISTORIAL DE AJUSTES ENTRE FASE 1 Y FASE 2</t>
  </si>
  <si>
    <t>Compara la planificación inicial, los ajustes del documento de Fase 2 y la distribución semanal propuesta para el plan consolidado.</t>
  </si>
  <si>
    <t>Tema</t>
  </si>
  <si>
    <t>Plan inicial Fase 1</t>
  </si>
  <si>
    <t>Avance/ajuste reportado en Fase 2</t>
  </si>
  <si>
    <t>Distribución propuesta</t>
  </si>
  <si>
    <t>Implicancia / riesgo</t>
  </si>
  <si>
    <t>Evidencia que conviene guardar</t>
  </si>
  <si>
    <t>Conexión bancaria</t>
  </si>
  <si>
    <t>Conectar la API de Banco de Chile; 2 semanas, indicada en S1-S2.</t>
  </si>
  <si>
    <t>Banco de Chile no dispone de API pública accesible para estudiantes; se adoptó Fintoc como intermediario y se implementó en sandbox.</t>
  </si>
  <si>
    <t>S4-S5</t>
  </si>
  <si>
    <t>El cambio de proveedor responde a disponibilidad técnica. El acceso real requiere aprobación de Fintoc.</t>
  </si>
  <si>
    <t>Código de integración, configuración sin secretos y capturas del flujo.</t>
  </si>
  <si>
    <t>Sincronización de movimientos</t>
  </si>
  <si>
    <t>No aparecía separada como actividad en la planificación inicial.</t>
  </si>
  <si>
    <t>Se agregó descarga paginada, conversión al formato FinFlow, unión sin duplicados y actualización de saldo; duración de 1 semana.</t>
  </si>
  <si>
    <t>Mantener consistencia de movimientos y evitar duplicados.</t>
  </si>
  <si>
    <t>Prueba de paginación, ejemplo de normalización y evidencia de actualización.</t>
  </si>
  <si>
    <t>Clasificación de transacciones</t>
  </si>
  <si>
    <t>Modelos de machine learning; ventana inicial de 3 semanas (S1-S3).</t>
  </si>
  <si>
    <t>Las reglas ya funcionan en el prototipo, pero el clasificador NLP supervisado de cuatro categorías continúa en curso y se requieren más datos etiquetados.</t>
  </si>
  <si>
    <t>S7-S9 para la etapa supervisada</t>
  </si>
  <si>
    <t>Las glosas bancarias cortas o ambiguas pueden limitar la calidad; recopilar datos etiquetados.</t>
  </si>
  <si>
    <t>Datos de entrenamiento anonimizados, métricas y casos de prueba.</t>
  </si>
  <si>
    <t>Proyección de saldo</t>
  </si>
  <si>
    <t>Objetivo definido como modelo predictivo de series temporales.</t>
  </si>
  <si>
    <t>Se proyecta el saldo a cuatro semanas con banda de incertidumbre; la validación con datos reales está pendiente por límites del sandbox.</t>
  </si>
  <si>
    <t>S7-S9</t>
  </si>
  <si>
    <t>El acceso a datos reales depende de autorización; se mantiene la carga manual de cartolas.</t>
  </si>
  <si>
    <t>Gráfico de proyección, cartolas de prueba y resultados de validación.</t>
  </si>
  <si>
    <t>Dashboard responsivo</t>
  </si>
  <si>
    <t>Incluido como objetivo de solución web, pero no separado claramente en el plan inicial.</t>
  </si>
  <si>
    <t>Se incorporó como actividad de cuatro semanas; debe funcionar con movimientos bancarios y salidas de modelos, en PC y móvil.</t>
  </si>
  <si>
    <t>S7-S10</t>
  </si>
  <si>
    <t>La integración depende de que los modelos y el backend entreguen datos consistentes.</t>
  </si>
  <si>
    <t>Capturas de escritorio/móvil y evidencia del flujo integrado.</t>
  </si>
  <si>
    <t>Seguridad y privacidad</t>
  </si>
  <si>
    <t>No detallado como tarea independiente en la tabla inicial.</t>
  </si>
  <si>
    <t>Llaves secretas y link_token quedan en servidor; .env excluido del repositorio; consentimiento actualizado; posibilidad de desconectar y borrar datos.</t>
  </si>
  <si>
    <t>Implementado en la integración</t>
  </si>
  <si>
    <t>S4-S6</t>
  </si>
  <si>
    <t>No publicar secretos en GitHub ni adjuntar cartolas con datos personales sin anonimizar.</t>
  </si>
  <si>
    <t>Revisión de variables de entorno, consentimiento y flujo de eliminación/desconexión.</t>
  </si>
  <si>
    <t>Pruebas finales y entrega</t>
  </si>
  <si>
    <t>La guía solicita evidencias de avance/final, pero no enumera todos los casos de prueba.</t>
  </si>
  <si>
    <t>Se reportó una prueba de flujo completo en sandbox; la validación más amplia de modelos, sistema y procesos queda pendiente en el plan consolidado.</t>
  </si>
  <si>
    <t>Parcial / por completar</t>
  </si>
  <si>
    <t>S11-S16</t>
  </si>
  <si>
    <t>La rúbrica requiere pruebas de producto y proceso y mejoras basadas en resultados.</t>
  </si>
  <si>
    <t>Matriz de casos de prueba, defectos, correcciones, resultados y commits.</t>
  </si>
  <si>
    <t xml:space="preserve">Planificación propuesta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</si>
</sst>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name val="Carlito"/>
    </font>
    <font>
      <b/>
      <sz val="16"/>
      <color rgb="FFFFFFFF"/>
      <name val="Carlito"/>
    </font>
    <font>
      <i/>
      <sz val="11"/>
      <color rgb="FF17365D"/>
      <name val="Carlito"/>
    </font>
    <font>
      <b/>
      <sz val="11"/>
      <color rgb="FFFFFFFF"/>
      <name val="Carlito"/>
    </font>
    <font>
      <b/>
      <sz val="11"/>
      <color rgb="FF404B5A"/>
      <name val="Carlito"/>
    </font>
    <font>
      <sz val="11"/>
      <color rgb="FF404B5A"/>
      <name val="Carlito"/>
    </font>
    <font>
      <b/>
      <sz val="11"/>
      <color rgb="FF17365D"/>
      <name val="Carlito"/>
    </font>
    <font>
      <i/>
      <sz val="11"/>
      <color rgb="FF404B5A"/>
      <name val="Carlito"/>
    </font>
    <font>
      <b/>
      <sz val="15"/>
      <color rgb="FFFFFFFF"/>
      <name val="Carlito"/>
    </font>
  </fonts>
  <fills count="16">
    <fill>
      <patternFill patternType="none"/>
    </fill>
    <fill>
      <patternFill patternType="gray125"/>
    </fill>
    <fill>
      <patternFill patternType="solid">
        <fgColor rgb="FF17365D"/>
      </patternFill>
    </fill>
    <fill>
      <patternFill patternType="solid">
        <fgColor rgb="FFD9EAF7"/>
      </patternFill>
    </fill>
    <fill>
      <patternFill patternType="solid">
        <fgColor rgb="FF4472C4"/>
      </patternFill>
    </fill>
    <fill>
      <patternFill patternType="solid">
        <fgColor rgb="FFF2F4F7"/>
      </patternFill>
    </fill>
    <fill>
      <patternFill patternType="solid">
        <fgColor rgb="FF0F6B78"/>
      </patternFill>
    </fill>
    <fill>
      <patternFill patternType="solid">
        <fgColor rgb="FFE2F0D9"/>
      </patternFill>
    </fill>
    <fill>
      <patternFill patternType="solid">
        <fgColor rgb="FFDDEBF7"/>
      </patternFill>
    </fill>
    <fill>
      <patternFill patternType="solid">
        <fgColor rgb="FFE7E6E6"/>
      </patternFill>
    </fill>
    <fill>
      <patternFill patternType="solid">
        <fgColor rgb="FFFCE4D6"/>
      </patternFill>
    </fill>
    <fill>
      <patternFill patternType="solid">
        <fgColor rgb="FFFFF2CC"/>
      </patternFill>
    </fill>
    <fill>
      <patternFill patternType="solid">
        <fgColor rgb="FF7030A0"/>
      </patternFill>
    </fill>
    <fill>
      <patternFill patternType="solid">
        <fgColor rgb="FFD9E2F3"/>
      </patternFill>
    </fill>
    <fill>
      <patternFill patternType="solid">
        <fgColor rgb="FF70AD47"/>
      </patternFill>
    </fill>
    <fill>
      <patternFill patternType="solid">
        <fgColor rgb="FF5B9BD5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0" fillId="0" borderId="1" xfId="0" applyBorder="1"/>
    <xf numFmtId="0" fontId="3" fillId="4" borderId="0" xfId="0" applyFont="1" applyFill="1"/>
    <xf numFmtId="0" fontId="4" fillId="5" borderId="0" xfId="0" applyFont="1" applyFill="1"/>
    <xf numFmtId="0" fontId="3" fillId="6" borderId="0" xfId="0" applyFont="1" applyFill="1" applyAlignment="1">
      <alignment horizontal="center"/>
    </xf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6" fillId="3" borderId="0" xfId="0" applyFont="1" applyFill="1" applyAlignment="1">
      <alignment horizontal="center"/>
    </xf>
    <xf numFmtId="0" fontId="6" fillId="13" borderId="0" xfId="0" applyFont="1" applyFill="1" applyAlignment="1">
      <alignment horizontal="center" wrapText="1"/>
    </xf>
    <xf numFmtId="0" fontId="0" fillId="0" borderId="0" xfId="0" applyAlignment="1">
      <alignment vertical="center" wrapText="1"/>
    </xf>
    <xf numFmtId="0" fontId="4" fillId="7" borderId="0" xfId="0" applyFont="1" applyFill="1" applyAlignment="1">
      <alignment horizontal="center" vertical="center" wrapText="1"/>
    </xf>
    <xf numFmtId="0" fontId="3" fillId="14" borderId="0" xfId="0" applyFont="1" applyFill="1" applyAlignment="1">
      <alignment horizontal="center" vertical="center" wrapText="1"/>
    </xf>
    <xf numFmtId="0" fontId="4" fillId="8" borderId="0" xfId="0" applyFont="1" applyFill="1" applyAlignment="1">
      <alignment horizontal="center" vertical="center" wrapText="1"/>
    </xf>
    <xf numFmtId="0" fontId="3" fillId="15" borderId="0" xfId="0" applyFont="1" applyFill="1" applyAlignment="1">
      <alignment horizontal="center" vertical="center" wrapText="1"/>
    </xf>
    <xf numFmtId="0" fontId="4" fillId="9" borderId="0" xfId="0" applyFont="1" applyFill="1" applyAlignment="1">
      <alignment horizontal="center" vertical="center" wrapText="1"/>
    </xf>
    <xf numFmtId="0" fontId="4" fillId="10" borderId="0" xfId="0" applyFont="1" applyFill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3" fillId="6" borderId="0" xfId="0" applyFont="1" applyFill="1" applyAlignment="1">
      <alignment horizontal="center" wrapText="1"/>
    </xf>
    <xf numFmtId="0" fontId="1" fillId="2" borderId="0" xfId="0" applyFont="1" applyFill="1" applyAlignment="1">
      <alignment horizontal="center"/>
    </xf>
    <xf numFmtId="0" fontId="2" fillId="3" borderId="0" xfId="0" applyFont="1" applyFill="1" applyAlignment="1">
      <alignment horizontal="center"/>
    </xf>
    <xf numFmtId="0" fontId="3" fillId="4" borderId="0" xfId="0" applyFont="1" applyFill="1"/>
    <xf numFmtId="0" fontId="5" fillId="11" borderId="0" xfId="0" applyFont="1" applyFill="1" applyAlignment="1">
      <alignment vertical="center" wrapText="1"/>
    </xf>
    <xf numFmtId="0" fontId="3" fillId="6" borderId="0" xfId="0" applyFont="1" applyFill="1"/>
    <xf numFmtId="0" fontId="0" fillId="0" borderId="0" xfId="0"/>
    <xf numFmtId="0" fontId="7" fillId="0" borderId="0" xfId="0" applyFont="1" applyAlignment="1">
      <alignment wrapText="1"/>
    </xf>
    <xf numFmtId="0" fontId="5" fillId="5" borderId="0" xfId="0" applyFont="1" applyFill="1"/>
    <xf numFmtId="0" fontId="3" fillId="2" borderId="0" xfId="0" applyFont="1" applyFill="1" applyAlignment="1">
      <alignment horizontal="center"/>
    </xf>
    <xf numFmtId="0" fontId="3" fillId="4" borderId="0" xfId="0" applyFont="1" applyFill="1" applyAlignment="1">
      <alignment horizontal="center"/>
    </xf>
    <xf numFmtId="0" fontId="3" fillId="6" borderId="0" xfId="0" applyFont="1" applyFill="1" applyAlignment="1">
      <alignment horizontal="center"/>
    </xf>
    <xf numFmtId="0" fontId="3" fillId="12" borderId="0" xfId="0" applyFont="1" applyFill="1" applyAlignment="1">
      <alignment horizontal="center"/>
    </xf>
    <xf numFmtId="0" fontId="7" fillId="11" borderId="0" xfId="0" applyFont="1" applyFill="1" applyAlignment="1">
      <alignment wrapText="1"/>
    </xf>
    <xf numFmtId="0" fontId="8" fillId="2" borderId="0" xfId="0" applyFont="1" applyFill="1" applyAlignment="1">
      <alignment horizontal="center"/>
    </xf>
    <xf numFmtId="0" fontId="2" fillId="3" borderId="0" xfId="0" applyFont="1" applyFill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2"/>
  <sheetViews>
    <sheetView workbookViewId="0">
      <selection sqref="A1:H1"/>
    </sheetView>
  </sheetViews>
  <sheetFormatPr defaultRowHeight="14.25"/>
  <cols>
    <col min="1" max="1" width="30" customWidth="1"/>
    <col min="2" max="2" width="32" customWidth="1"/>
    <col min="3" max="3" width="4" customWidth="1"/>
    <col min="4" max="4" width="24" customWidth="1"/>
    <col min="5" max="5" width="18" customWidth="1"/>
    <col min="6" max="8" width="12" customWidth="1"/>
  </cols>
  <sheetData>
    <row r="1" spans="1:8" ht="30" customHeight="1">
      <c r="A1" s="20" t="s">
        <v>0</v>
      </c>
      <c r="B1" s="20"/>
      <c r="C1" s="20"/>
      <c r="D1" s="20"/>
      <c r="E1" s="20"/>
      <c r="F1" s="20"/>
      <c r="G1" s="20"/>
      <c r="H1" s="20"/>
    </row>
    <row r="2" spans="1:8" ht="24" customHeight="1">
      <c r="A2" s="21" t="s">
        <v>1</v>
      </c>
      <c r="B2" s="21"/>
      <c r="C2" s="21"/>
      <c r="D2" s="21"/>
      <c r="E2" s="21"/>
      <c r="F2" s="21"/>
      <c r="G2" s="21"/>
      <c r="H2" s="21"/>
    </row>
    <row r="4" spans="1:8" ht="15">
      <c r="A4" s="2" t="s">
        <v>2</v>
      </c>
      <c r="B4" s="2" t="s">
        <v>3</v>
      </c>
      <c r="D4" s="4" t="s">
        <v>4</v>
      </c>
      <c r="E4" s="4" t="s">
        <v>5</v>
      </c>
    </row>
    <row r="5" spans="1:8" ht="15">
      <c r="A5" s="3" t="s">
        <v>6</v>
      </c>
      <c r="B5" t="s">
        <v>7</v>
      </c>
      <c r="D5" s="5" t="s">
        <v>8</v>
      </c>
      <c r="E5" s="5">
        <f>COUNTIF('Carta Gantt'!$D$6:$D$26,D5)</f>
        <v>9</v>
      </c>
    </row>
    <row r="6" spans="1:8" ht="15">
      <c r="A6" s="3" t="s">
        <v>9</v>
      </c>
      <c r="B6" t="s">
        <v>10</v>
      </c>
      <c r="D6" s="6" t="s">
        <v>11</v>
      </c>
      <c r="E6" s="6">
        <f>COUNTIF('Carta Gantt'!$D$6:$D$26,D6)</f>
        <v>5</v>
      </c>
    </row>
    <row r="7" spans="1:8" ht="15">
      <c r="A7" s="3" t="s">
        <v>12</v>
      </c>
      <c r="B7" t="s">
        <v>13</v>
      </c>
      <c r="D7" s="7" t="s">
        <v>14</v>
      </c>
      <c r="E7" s="7">
        <f>COUNTIF('Carta Gantt'!$D$6:$D$26,D7)</f>
        <v>6</v>
      </c>
    </row>
    <row r="8" spans="1:8">
      <c r="D8" s="8" t="s">
        <v>15</v>
      </c>
      <c r="E8" s="8">
        <f>COUNTIF('Carta Gantt'!$D$6:$D$26,D8)</f>
        <v>1</v>
      </c>
    </row>
    <row r="10" spans="1:8" ht="23.1" customHeight="1">
      <c r="A10" s="22" t="s">
        <v>16</v>
      </c>
      <c r="B10" s="22"/>
      <c r="C10" s="22"/>
      <c r="D10" s="22"/>
      <c r="E10" s="22"/>
      <c r="F10" s="22"/>
      <c r="G10" s="22"/>
      <c r="H10" s="22"/>
    </row>
    <row r="11" spans="1:8" ht="24.95" customHeight="1">
      <c r="A11" s="23" t="s">
        <v>17</v>
      </c>
      <c r="B11" s="23"/>
      <c r="C11" s="23"/>
      <c r="D11" s="23"/>
      <c r="E11" s="23"/>
      <c r="F11" s="23"/>
      <c r="G11" s="23"/>
      <c r="H11" s="23"/>
    </row>
    <row r="12" spans="1:8" ht="24.95" customHeight="1">
      <c r="A12" s="23"/>
      <c r="B12" s="23"/>
      <c r="C12" s="23"/>
      <c r="D12" s="23"/>
      <c r="E12" s="23"/>
      <c r="F12" s="23"/>
      <c r="G12" s="23"/>
      <c r="H12" s="23"/>
    </row>
    <row r="13" spans="1:8" ht="24.95" customHeight="1">
      <c r="A13" s="23"/>
      <c r="B13" s="23"/>
      <c r="C13" s="23"/>
      <c r="D13" s="23"/>
      <c r="E13" s="23"/>
      <c r="F13" s="23"/>
      <c r="G13" s="23"/>
      <c r="H13" s="23"/>
    </row>
    <row r="15" spans="1:8" ht="23.1" customHeight="1">
      <c r="A15" s="24" t="s">
        <v>18</v>
      </c>
      <c r="B15" s="24"/>
      <c r="C15" s="24"/>
      <c r="D15" s="24"/>
      <c r="E15" s="24"/>
      <c r="F15" s="24"/>
      <c r="G15" s="24"/>
      <c r="H15" s="24"/>
    </row>
    <row r="16" spans="1:8" ht="15">
      <c r="A16" s="9" t="s">
        <v>19</v>
      </c>
      <c r="B16" s="25" t="s">
        <v>20</v>
      </c>
      <c r="C16" s="25"/>
      <c r="D16" s="25"/>
      <c r="E16" s="25"/>
      <c r="F16" s="25"/>
      <c r="G16" s="25"/>
      <c r="H16" s="25"/>
    </row>
    <row r="17" spans="1:8" ht="15">
      <c r="A17" s="9" t="s">
        <v>21</v>
      </c>
      <c r="B17" s="25" t="s">
        <v>22</v>
      </c>
      <c r="C17" s="25"/>
      <c r="D17" s="25"/>
      <c r="E17" s="25"/>
      <c r="F17" s="25"/>
      <c r="G17" s="25"/>
      <c r="H17" s="25"/>
    </row>
    <row r="18" spans="1:8" ht="15">
      <c r="A18" s="9" t="s">
        <v>23</v>
      </c>
      <c r="B18" s="25" t="s">
        <v>24</v>
      </c>
      <c r="C18" s="25"/>
      <c r="D18" s="25"/>
      <c r="E18" s="25"/>
      <c r="F18" s="25"/>
      <c r="G18" s="25"/>
      <c r="H18" s="25"/>
    </row>
    <row r="19" spans="1:8" ht="15">
      <c r="A19" s="9" t="s">
        <v>25</v>
      </c>
      <c r="B19" s="25" t="s">
        <v>26</v>
      </c>
      <c r="C19" s="25"/>
      <c r="D19" s="25"/>
      <c r="E19" s="25"/>
      <c r="F19" s="25"/>
      <c r="G19" s="25"/>
      <c r="H19" s="25"/>
    </row>
    <row r="21" spans="1:8" ht="21.95" customHeight="1">
      <c r="A21" s="26" t="s">
        <v>27</v>
      </c>
      <c r="B21" s="26"/>
      <c r="C21" s="26"/>
      <c r="D21" s="26"/>
      <c r="E21" s="26"/>
      <c r="F21" s="26"/>
      <c r="G21" s="26"/>
      <c r="H21" s="26"/>
    </row>
    <row r="22" spans="1:8" ht="21.95" customHeight="1">
      <c r="A22" s="26"/>
      <c r="B22" s="26"/>
      <c r="C22" s="26"/>
      <c r="D22" s="26"/>
      <c r="E22" s="26"/>
      <c r="F22" s="26"/>
      <c r="G22" s="26"/>
      <c r="H22" s="26"/>
    </row>
  </sheetData>
  <mergeCells count="10">
    <mergeCell ref="B16:H16"/>
    <mergeCell ref="B17:H17"/>
    <mergeCell ref="B18:H18"/>
    <mergeCell ref="B19:H19"/>
    <mergeCell ref="A21:H22"/>
    <mergeCell ref="A1:H1"/>
    <mergeCell ref="A2:H2"/>
    <mergeCell ref="A10:H10"/>
    <mergeCell ref="A11:H13"/>
    <mergeCell ref="A15:H1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Y28"/>
  <sheetViews>
    <sheetView tabSelected="1" workbookViewId="0">
      <selection activeCell="O9" sqref="O9"/>
    </sheetView>
  </sheetViews>
  <sheetFormatPr defaultRowHeight="14.25"/>
  <cols>
    <col min="1" max="1" width="6" customWidth="1"/>
    <col min="2" max="2" width="52" customWidth="1"/>
    <col min="3" max="3" width="26" customWidth="1"/>
    <col min="4" max="4" width="18" customWidth="1"/>
    <col min="5" max="6" width="10" customWidth="1"/>
    <col min="7" max="7" width="12" customWidth="1"/>
    <col min="8" max="25" width="5" customWidth="1"/>
  </cols>
  <sheetData>
    <row r="1" spans="1:25" ht="30" customHeight="1">
      <c r="A1" s="20" t="s">
        <v>28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</row>
    <row r="2" spans="1:25" ht="24" customHeight="1">
      <c r="A2" s="21" t="s">
        <v>235</v>
      </c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  <c r="S2" s="21"/>
      <c r="T2" s="21"/>
      <c r="U2" s="21"/>
      <c r="V2" s="21"/>
      <c r="W2" s="21"/>
      <c r="X2" s="21"/>
      <c r="Y2" s="21"/>
    </row>
    <row r="3" spans="1:25" ht="21.95" customHeight="1">
      <c r="A3" s="27" t="s">
        <v>29</v>
      </c>
      <c r="B3" s="27"/>
      <c r="C3" s="27"/>
      <c r="D3" s="27"/>
      <c r="E3" s="27"/>
      <c r="F3" s="27"/>
      <c r="G3" s="27"/>
      <c r="H3" s="27"/>
      <c r="I3" s="27"/>
      <c r="J3" s="27"/>
      <c r="K3" s="27"/>
      <c r="L3" s="27"/>
      <c r="M3" s="27"/>
      <c r="N3" s="27"/>
      <c r="O3" s="27"/>
      <c r="P3" s="27"/>
      <c r="Q3" s="27"/>
      <c r="R3" s="27"/>
      <c r="S3" s="27"/>
      <c r="T3" s="27"/>
      <c r="U3" s="27"/>
      <c r="V3" s="27"/>
      <c r="W3" s="27"/>
      <c r="X3" s="27"/>
      <c r="Y3" s="27"/>
    </row>
    <row r="4" spans="1:25" ht="24" customHeight="1">
      <c r="A4" s="28" t="s">
        <v>30</v>
      </c>
      <c r="B4" s="28"/>
      <c r="C4" s="28"/>
      <c r="D4" s="28"/>
      <c r="E4" s="28"/>
      <c r="F4" s="28"/>
      <c r="G4" s="28"/>
      <c r="H4" s="29" t="s">
        <v>31</v>
      </c>
      <c r="I4" s="29"/>
      <c r="J4" s="29"/>
      <c r="K4" s="30" t="s">
        <v>32</v>
      </c>
      <c r="L4" s="30"/>
      <c r="M4" s="30"/>
      <c r="N4" s="30"/>
      <c r="O4" s="30"/>
      <c r="P4" s="30"/>
      <c r="Q4" s="30"/>
      <c r="R4" s="31" t="s">
        <v>33</v>
      </c>
      <c r="S4" s="31"/>
      <c r="T4" s="31"/>
      <c r="U4" s="31"/>
      <c r="V4" s="31"/>
      <c r="W4" s="31"/>
      <c r="X4" s="31"/>
      <c r="Y4" s="31"/>
    </row>
    <row r="5" spans="1:25" ht="30" customHeight="1">
      <c r="A5" s="10" t="s">
        <v>34</v>
      </c>
      <c r="B5" s="10" t="s">
        <v>35</v>
      </c>
      <c r="C5" s="10" t="s">
        <v>36</v>
      </c>
      <c r="D5" s="10" t="s">
        <v>37</v>
      </c>
      <c r="E5" s="10" t="s">
        <v>38</v>
      </c>
      <c r="F5" s="10" t="s">
        <v>39</v>
      </c>
      <c r="G5" s="10" t="s">
        <v>40</v>
      </c>
      <c r="H5" s="10" t="s">
        <v>41</v>
      </c>
      <c r="I5" s="10" t="s">
        <v>42</v>
      </c>
      <c r="J5" s="10" t="s">
        <v>43</v>
      </c>
      <c r="K5" s="10" t="s">
        <v>44</v>
      </c>
      <c r="L5" s="10" t="s">
        <v>45</v>
      </c>
      <c r="M5" s="10" t="s">
        <v>46</v>
      </c>
      <c r="N5" s="10" t="s">
        <v>47</v>
      </c>
      <c r="O5" s="10" t="s">
        <v>48</v>
      </c>
      <c r="P5" s="10" t="s">
        <v>49</v>
      </c>
      <c r="Q5" s="10" t="s">
        <v>50</v>
      </c>
      <c r="R5" s="10" t="s">
        <v>51</v>
      </c>
      <c r="S5" s="10" t="s">
        <v>52</v>
      </c>
      <c r="T5" s="10" t="s">
        <v>53</v>
      </c>
      <c r="U5" s="10" t="s">
        <v>54</v>
      </c>
      <c r="V5" s="10" t="s">
        <v>55</v>
      </c>
      <c r="W5" s="10" t="s">
        <v>56</v>
      </c>
      <c r="X5" s="10" t="s">
        <v>57</v>
      </c>
      <c r="Y5" s="10" t="s">
        <v>58</v>
      </c>
    </row>
    <row r="6" spans="1:25" ht="38.1" customHeight="1">
      <c r="A6" s="18" t="s">
        <v>59</v>
      </c>
      <c r="B6" s="11" t="s">
        <v>60</v>
      </c>
      <c r="C6" s="11" t="s">
        <v>61</v>
      </c>
      <c r="D6" s="12" t="s">
        <v>8</v>
      </c>
      <c r="E6" s="18">
        <v>1</v>
      </c>
      <c r="F6" s="18">
        <v>1</v>
      </c>
      <c r="G6" s="18">
        <f t="shared" ref="G6:G26" si="0">F6-E6+1</f>
        <v>1</v>
      </c>
      <c r="H6" s="13" t="s">
        <v>62</v>
      </c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</row>
    <row r="7" spans="1:25" ht="38.1" customHeight="1">
      <c r="A7" s="18" t="s">
        <v>63</v>
      </c>
      <c r="B7" s="11" t="s">
        <v>64</v>
      </c>
      <c r="C7" s="11" t="s">
        <v>61</v>
      </c>
      <c r="D7" s="12" t="s">
        <v>8</v>
      </c>
      <c r="E7" s="18">
        <v>1</v>
      </c>
      <c r="F7" s="18">
        <v>2</v>
      </c>
      <c r="G7" s="18">
        <f t="shared" si="0"/>
        <v>2</v>
      </c>
      <c r="H7" s="13" t="s">
        <v>62</v>
      </c>
      <c r="I7" s="13" t="s">
        <v>62</v>
      </c>
      <c r="J7" s="18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</row>
    <row r="8" spans="1:25" ht="38.1" customHeight="1">
      <c r="A8" s="18" t="s">
        <v>65</v>
      </c>
      <c r="B8" s="11" t="s">
        <v>66</v>
      </c>
      <c r="C8" s="11" t="s">
        <v>61</v>
      </c>
      <c r="D8" s="12" t="s">
        <v>8</v>
      </c>
      <c r="E8" s="18">
        <v>2</v>
      </c>
      <c r="F8" s="18">
        <v>2</v>
      </c>
      <c r="G8" s="18">
        <f t="shared" si="0"/>
        <v>1</v>
      </c>
      <c r="H8" s="18"/>
      <c r="I8" s="13" t="s">
        <v>62</v>
      </c>
      <c r="J8" s="18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</row>
    <row r="9" spans="1:25" ht="38.1" customHeight="1">
      <c r="A9" s="18" t="s">
        <v>67</v>
      </c>
      <c r="B9" s="11" t="s">
        <v>68</v>
      </c>
      <c r="C9" s="11" t="s">
        <v>69</v>
      </c>
      <c r="D9" s="12" t="s">
        <v>8</v>
      </c>
      <c r="E9" s="18">
        <v>2</v>
      </c>
      <c r="F9" s="18">
        <v>3</v>
      </c>
      <c r="G9" s="18">
        <f t="shared" si="0"/>
        <v>2</v>
      </c>
      <c r="H9" s="18"/>
      <c r="I9" s="13" t="s">
        <v>62</v>
      </c>
      <c r="J9" s="13" t="s">
        <v>62</v>
      </c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</row>
    <row r="10" spans="1:25" ht="38.1" customHeight="1">
      <c r="A10" s="18" t="s">
        <v>70</v>
      </c>
      <c r="B10" s="11" t="s">
        <v>71</v>
      </c>
      <c r="C10" s="11" t="s">
        <v>72</v>
      </c>
      <c r="D10" s="12" t="s">
        <v>8</v>
      </c>
      <c r="E10" s="18">
        <v>2</v>
      </c>
      <c r="F10" s="18">
        <v>3</v>
      </c>
      <c r="G10" s="18">
        <f t="shared" si="0"/>
        <v>2</v>
      </c>
      <c r="H10" s="18"/>
      <c r="I10" s="13" t="s">
        <v>62</v>
      </c>
      <c r="J10" s="13" t="s">
        <v>62</v>
      </c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</row>
    <row r="11" spans="1:25" ht="38.1" customHeight="1">
      <c r="A11" s="18" t="s">
        <v>73</v>
      </c>
      <c r="B11" s="11" t="s">
        <v>74</v>
      </c>
      <c r="C11" s="11" t="s">
        <v>69</v>
      </c>
      <c r="D11" s="12" t="s">
        <v>8</v>
      </c>
      <c r="E11" s="18">
        <v>4</v>
      </c>
      <c r="F11" s="18">
        <v>5</v>
      </c>
      <c r="G11" s="18">
        <f t="shared" si="0"/>
        <v>2</v>
      </c>
      <c r="H11" s="18"/>
      <c r="I11" s="18"/>
      <c r="J11" s="18"/>
      <c r="K11" s="13" t="s">
        <v>62</v>
      </c>
      <c r="L11" s="13" t="s">
        <v>62</v>
      </c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</row>
    <row r="12" spans="1:25" ht="38.1" customHeight="1">
      <c r="A12" s="18" t="s">
        <v>75</v>
      </c>
      <c r="B12" s="11" t="s">
        <v>76</v>
      </c>
      <c r="C12" s="11" t="s">
        <v>69</v>
      </c>
      <c r="D12" s="12" t="s">
        <v>8</v>
      </c>
      <c r="E12" s="18">
        <v>6</v>
      </c>
      <c r="F12" s="18">
        <v>6</v>
      </c>
      <c r="G12" s="18">
        <f t="shared" si="0"/>
        <v>1</v>
      </c>
      <c r="H12" s="18"/>
      <c r="I12" s="18"/>
      <c r="J12" s="18"/>
      <c r="K12" s="18"/>
      <c r="L12" s="18"/>
      <c r="M12" s="13" t="s">
        <v>62</v>
      </c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</row>
    <row r="13" spans="1:25" ht="38.1" customHeight="1">
      <c r="A13" s="18" t="s">
        <v>77</v>
      </c>
      <c r="B13" s="11" t="s">
        <v>78</v>
      </c>
      <c r="C13" s="11" t="s">
        <v>69</v>
      </c>
      <c r="D13" s="12" t="s">
        <v>8</v>
      </c>
      <c r="E13" s="18">
        <v>4</v>
      </c>
      <c r="F13" s="18">
        <v>6</v>
      </c>
      <c r="G13" s="18">
        <f t="shared" si="0"/>
        <v>3</v>
      </c>
      <c r="H13" s="18"/>
      <c r="I13" s="18"/>
      <c r="J13" s="18"/>
      <c r="K13" s="13" t="s">
        <v>62</v>
      </c>
      <c r="L13" s="13" t="s">
        <v>62</v>
      </c>
      <c r="M13" s="13" t="s">
        <v>62</v>
      </c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</row>
    <row r="14" spans="1:25" ht="38.1" customHeight="1">
      <c r="A14" s="18" t="s">
        <v>79</v>
      </c>
      <c r="B14" s="11" t="s">
        <v>80</v>
      </c>
      <c r="C14" s="11" t="s">
        <v>81</v>
      </c>
      <c r="D14" s="12" t="s">
        <v>8</v>
      </c>
      <c r="E14" s="18">
        <v>6</v>
      </c>
      <c r="F14" s="18">
        <v>7</v>
      </c>
      <c r="G14" s="18">
        <f t="shared" si="0"/>
        <v>2</v>
      </c>
      <c r="H14" s="18"/>
      <c r="I14" s="18"/>
      <c r="J14" s="18"/>
      <c r="K14" s="18"/>
      <c r="L14" s="18"/>
      <c r="M14" s="13" t="s">
        <v>62</v>
      </c>
      <c r="N14" s="13" t="s">
        <v>62</v>
      </c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</row>
    <row r="15" spans="1:25" ht="38.1" customHeight="1">
      <c r="A15" s="18" t="s">
        <v>82</v>
      </c>
      <c r="B15" s="11" t="s">
        <v>83</v>
      </c>
      <c r="C15" s="11" t="s">
        <v>72</v>
      </c>
      <c r="D15" s="14" t="s">
        <v>11</v>
      </c>
      <c r="E15" s="18">
        <v>7</v>
      </c>
      <c r="F15" s="18">
        <v>8</v>
      </c>
      <c r="G15" s="18">
        <f t="shared" si="0"/>
        <v>2</v>
      </c>
      <c r="H15" s="18"/>
      <c r="I15" s="18"/>
      <c r="J15" s="18"/>
      <c r="K15" s="18"/>
      <c r="L15" s="18"/>
      <c r="M15" s="18"/>
      <c r="N15" s="15" t="s">
        <v>62</v>
      </c>
      <c r="O15" s="15" t="s">
        <v>62</v>
      </c>
      <c r="P15" s="18"/>
      <c r="Q15" s="18"/>
      <c r="R15" s="18"/>
      <c r="S15" s="18"/>
      <c r="T15" s="18"/>
      <c r="U15" s="18"/>
      <c r="V15" s="18"/>
      <c r="W15" s="18"/>
      <c r="X15" s="18"/>
      <c r="Y15" s="18"/>
    </row>
    <row r="16" spans="1:25" ht="38.1" customHeight="1">
      <c r="A16" s="18" t="s">
        <v>84</v>
      </c>
      <c r="B16" s="11" t="s">
        <v>85</v>
      </c>
      <c r="C16" s="11" t="s">
        <v>72</v>
      </c>
      <c r="D16" s="14" t="s">
        <v>11</v>
      </c>
      <c r="E16" s="18">
        <v>7</v>
      </c>
      <c r="F16" s="18">
        <v>9</v>
      </c>
      <c r="G16" s="18">
        <f t="shared" si="0"/>
        <v>3</v>
      </c>
      <c r="H16" s="18"/>
      <c r="I16" s="18"/>
      <c r="J16" s="18"/>
      <c r="K16" s="18"/>
      <c r="L16" s="18"/>
      <c r="M16" s="18"/>
      <c r="N16" s="15" t="s">
        <v>62</v>
      </c>
      <c r="O16" s="15" t="s">
        <v>62</v>
      </c>
      <c r="P16" s="15" t="s">
        <v>62</v>
      </c>
      <c r="Q16" s="18"/>
      <c r="R16" s="18"/>
      <c r="S16" s="18"/>
      <c r="T16" s="18"/>
      <c r="U16" s="18"/>
      <c r="V16" s="18"/>
      <c r="W16" s="18"/>
      <c r="X16" s="18"/>
      <c r="Y16" s="18"/>
    </row>
    <row r="17" spans="1:25" ht="38.1" customHeight="1">
      <c r="A17" s="18" t="s">
        <v>86</v>
      </c>
      <c r="B17" s="11" t="s">
        <v>87</v>
      </c>
      <c r="C17" s="11" t="s">
        <v>72</v>
      </c>
      <c r="D17" s="14" t="s">
        <v>11</v>
      </c>
      <c r="E17" s="18">
        <v>7</v>
      </c>
      <c r="F17" s="18">
        <v>9</v>
      </c>
      <c r="G17" s="18">
        <f t="shared" si="0"/>
        <v>3</v>
      </c>
      <c r="H17" s="18"/>
      <c r="I17" s="18"/>
      <c r="J17" s="18"/>
      <c r="K17" s="18"/>
      <c r="L17" s="18"/>
      <c r="M17" s="18"/>
      <c r="N17" s="15" t="s">
        <v>62</v>
      </c>
      <c r="O17" s="15" t="s">
        <v>62</v>
      </c>
      <c r="P17" s="15" t="s">
        <v>62</v>
      </c>
      <c r="Q17" s="18"/>
      <c r="R17" s="18"/>
      <c r="S17" s="18"/>
      <c r="T17" s="18"/>
      <c r="U17" s="18"/>
      <c r="V17" s="18"/>
      <c r="W17" s="18"/>
      <c r="X17" s="18"/>
      <c r="Y17" s="18"/>
    </row>
    <row r="18" spans="1:25" ht="38.1" customHeight="1">
      <c r="A18" s="18" t="s">
        <v>88</v>
      </c>
      <c r="B18" s="11" t="s">
        <v>89</v>
      </c>
      <c r="C18" s="11" t="s">
        <v>90</v>
      </c>
      <c r="D18" s="14" t="s">
        <v>11</v>
      </c>
      <c r="E18" s="18">
        <v>7</v>
      </c>
      <c r="F18" s="18">
        <v>10</v>
      </c>
      <c r="G18" s="18">
        <f t="shared" si="0"/>
        <v>4</v>
      </c>
      <c r="H18" s="18"/>
      <c r="I18" s="18"/>
      <c r="J18" s="18"/>
      <c r="K18" s="18"/>
      <c r="L18" s="18"/>
      <c r="M18" s="18"/>
      <c r="N18" s="15" t="s">
        <v>62</v>
      </c>
      <c r="O18" s="15" t="s">
        <v>62</v>
      </c>
      <c r="P18" s="15" t="s">
        <v>62</v>
      </c>
      <c r="Q18" s="15" t="s">
        <v>62</v>
      </c>
      <c r="R18" s="18"/>
      <c r="S18" s="18"/>
      <c r="T18" s="18"/>
      <c r="U18" s="18"/>
      <c r="V18" s="18"/>
      <c r="W18" s="18"/>
      <c r="X18" s="18"/>
      <c r="Y18" s="18"/>
    </row>
    <row r="19" spans="1:25" ht="38.1" customHeight="1">
      <c r="A19" s="18" t="s">
        <v>91</v>
      </c>
      <c r="B19" s="11" t="s">
        <v>92</v>
      </c>
      <c r="C19" s="11" t="s">
        <v>61</v>
      </c>
      <c r="D19" s="16" t="s">
        <v>14</v>
      </c>
      <c r="E19" s="18">
        <v>11</v>
      </c>
      <c r="F19" s="18">
        <v>12</v>
      </c>
      <c r="G19" s="18">
        <f t="shared" si="0"/>
        <v>2</v>
      </c>
      <c r="H19" s="18"/>
      <c r="I19" s="18"/>
      <c r="J19" s="18"/>
      <c r="K19" s="18"/>
      <c r="L19" s="18"/>
      <c r="M19" s="18"/>
      <c r="N19" s="18"/>
      <c r="O19" s="18"/>
      <c r="P19" s="18"/>
      <c r="Q19" s="18"/>
      <c r="R19" s="1"/>
      <c r="S19" s="1"/>
      <c r="T19" s="1"/>
      <c r="U19" s="1"/>
      <c r="V19" s="1"/>
      <c r="W19" s="1"/>
      <c r="X19" s="1"/>
      <c r="Y19" s="1"/>
    </row>
    <row r="20" spans="1:25" ht="38.1" customHeight="1">
      <c r="A20" s="18" t="s">
        <v>93</v>
      </c>
      <c r="B20" s="11" t="s">
        <v>94</v>
      </c>
      <c r="C20" s="11" t="s">
        <v>95</v>
      </c>
      <c r="D20" s="16" t="s">
        <v>14</v>
      </c>
      <c r="E20" s="18">
        <v>11</v>
      </c>
      <c r="F20" s="18">
        <v>13</v>
      </c>
      <c r="G20" s="18">
        <f t="shared" si="0"/>
        <v>3</v>
      </c>
      <c r="H20" s="18"/>
      <c r="I20" s="18"/>
      <c r="J20" s="18"/>
      <c r="K20" s="18"/>
      <c r="L20" s="18"/>
      <c r="M20" s="18"/>
      <c r="N20" s="18"/>
      <c r="O20" s="18"/>
      <c r="P20" s="18"/>
      <c r="Q20" s="18"/>
      <c r="R20" s="1"/>
      <c r="S20" s="1"/>
      <c r="T20" s="1"/>
      <c r="U20" s="1"/>
      <c r="V20" s="1"/>
      <c r="W20" s="1"/>
      <c r="X20" s="1"/>
      <c r="Y20" s="1"/>
    </row>
    <row r="21" spans="1:25" ht="38.1" customHeight="1">
      <c r="A21" s="18" t="s">
        <v>96</v>
      </c>
      <c r="B21" s="11" t="s">
        <v>97</v>
      </c>
      <c r="C21" s="11" t="s">
        <v>61</v>
      </c>
      <c r="D21" s="16" t="s">
        <v>14</v>
      </c>
      <c r="E21" s="18">
        <v>12</v>
      </c>
      <c r="F21" s="18">
        <v>14</v>
      </c>
      <c r="G21" s="18">
        <f t="shared" si="0"/>
        <v>3</v>
      </c>
      <c r="H21" s="18"/>
      <c r="I21" s="18"/>
      <c r="J21" s="18"/>
      <c r="K21" s="18"/>
      <c r="L21" s="18"/>
      <c r="M21" s="18"/>
      <c r="N21" s="18"/>
      <c r="O21" s="18"/>
      <c r="P21" s="18"/>
      <c r="Q21" s="18"/>
      <c r="R21" s="1"/>
      <c r="S21" s="1"/>
      <c r="T21" s="1"/>
      <c r="U21" s="1"/>
      <c r="V21" s="1"/>
      <c r="W21" s="1"/>
      <c r="X21" s="1"/>
      <c r="Y21" s="1"/>
    </row>
    <row r="22" spans="1:25" ht="38.1" customHeight="1">
      <c r="A22" s="18" t="s">
        <v>98</v>
      </c>
      <c r="B22" s="11" t="s">
        <v>99</v>
      </c>
      <c r="C22" s="11" t="s">
        <v>61</v>
      </c>
      <c r="D22" s="16" t="s">
        <v>14</v>
      </c>
      <c r="E22" s="18">
        <v>14</v>
      </c>
      <c r="F22" s="18">
        <v>15</v>
      </c>
      <c r="G22" s="18">
        <f t="shared" si="0"/>
        <v>2</v>
      </c>
      <c r="H22" s="18"/>
      <c r="I22" s="18"/>
      <c r="J22" s="18"/>
      <c r="K22" s="18"/>
      <c r="L22" s="18"/>
      <c r="M22" s="18"/>
      <c r="N22" s="18"/>
      <c r="O22" s="18"/>
      <c r="P22" s="18"/>
      <c r="Q22" s="18"/>
      <c r="R22" s="1"/>
      <c r="S22" s="1"/>
      <c r="T22" s="1"/>
      <c r="U22" s="1"/>
      <c r="V22" s="1"/>
      <c r="W22" s="1"/>
      <c r="X22" s="1"/>
      <c r="Y22" s="1"/>
    </row>
    <row r="23" spans="1:25" ht="38.1" customHeight="1">
      <c r="A23" s="18" t="s">
        <v>100</v>
      </c>
      <c r="B23" s="11" t="s">
        <v>101</v>
      </c>
      <c r="C23" s="11" t="s">
        <v>61</v>
      </c>
      <c r="D23" s="14" t="s">
        <v>11</v>
      </c>
      <c r="E23" s="18">
        <v>11</v>
      </c>
      <c r="F23" s="18">
        <v>15</v>
      </c>
      <c r="G23" s="18">
        <f t="shared" si="0"/>
        <v>5</v>
      </c>
      <c r="H23" s="18"/>
      <c r="I23" s="18"/>
      <c r="J23" s="18"/>
      <c r="K23" s="18"/>
      <c r="L23" s="18"/>
      <c r="M23" s="18"/>
      <c r="N23" s="18"/>
      <c r="O23" s="18"/>
      <c r="P23" s="18"/>
      <c r="Q23" s="18"/>
      <c r="R23" s="1"/>
      <c r="S23" s="1"/>
      <c r="T23" s="1"/>
      <c r="U23" s="1"/>
      <c r="V23" s="1"/>
      <c r="W23" s="1"/>
      <c r="X23" s="1"/>
      <c r="Y23" s="1"/>
    </row>
    <row r="24" spans="1:25" ht="38.1" customHeight="1">
      <c r="A24" s="18" t="s">
        <v>102</v>
      </c>
      <c r="B24" s="11" t="s">
        <v>103</v>
      </c>
      <c r="C24" s="11" t="s">
        <v>61</v>
      </c>
      <c r="D24" s="16" t="s">
        <v>14</v>
      </c>
      <c r="E24" s="18">
        <v>15</v>
      </c>
      <c r="F24" s="18">
        <v>16</v>
      </c>
      <c r="G24" s="18">
        <f t="shared" si="0"/>
        <v>2</v>
      </c>
      <c r="H24" s="18"/>
      <c r="I24" s="18"/>
      <c r="J24" s="18"/>
      <c r="K24" s="18"/>
      <c r="L24" s="18"/>
      <c r="M24" s="18"/>
      <c r="N24" s="18"/>
      <c r="O24" s="18"/>
      <c r="P24" s="18"/>
      <c r="Q24" s="18"/>
      <c r="R24" s="1"/>
      <c r="S24" s="1"/>
      <c r="T24" s="1"/>
      <c r="U24" s="1"/>
      <c r="V24" s="1"/>
      <c r="W24" s="1"/>
      <c r="X24" s="1"/>
      <c r="Y24" s="1"/>
    </row>
    <row r="25" spans="1:25" ht="38.1" customHeight="1">
      <c r="A25" s="18" t="s">
        <v>104</v>
      </c>
      <c r="B25" s="11" t="s">
        <v>105</v>
      </c>
      <c r="C25" s="11" t="s">
        <v>81</v>
      </c>
      <c r="D25" s="17" t="s">
        <v>15</v>
      </c>
      <c r="E25" s="18">
        <v>16</v>
      </c>
      <c r="F25" s="18">
        <v>17</v>
      </c>
      <c r="G25" s="18">
        <f t="shared" si="0"/>
        <v>2</v>
      </c>
      <c r="H25" s="18"/>
      <c r="I25" s="18"/>
      <c r="J25" s="18"/>
      <c r="K25" s="18"/>
      <c r="L25" s="18"/>
      <c r="M25" s="18"/>
      <c r="N25" s="18"/>
      <c r="O25" s="18"/>
      <c r="P25" s="18"/>
      <c r="Q25" s="18"/>
      <c r="R25" s="1"/>
      <c r="S25" s="1"/>
      <c r="T25" s="1"/>
      <c r="U25" s="1"/>
      <c r="V25" s="1"/>
      <c r="W25" s="1"/>
      <c r="X25" s="1"/>
      <c r="Y25" s="1"/>
    </row>
    <row r="26" spans="1:25" ht="38.1" customHeight="1">
      <c r="A26" s="18" t="s">
        <v>106</v>
      </c>
      <c r="B26" s="11" t="s">
        <v>107</v>
      </c>
      <c r="C26" s="11" t="s">
        <v>61</v>
      </c>
      <c r="D26" s="16" t="s">
        <v>14</v>
      </c>
      <c r="E26" s="18">
        <v>18</v>
      </c>
      <c r="F26" s="18">
        <v>18</v>
      </c>
      <c r="G26" s="18">
        <f t="shared" si="0"/>
        <v>1</v>
      </c>
      <c r="H26" s="18"/>
      <c r="I26" s="18"/>
      <c r="J26" s="18"/>
      <c r="K26" s="18"/>
      <c r="L26" s="18"/>
      <c r="M26" s="18"/>
      <c r="N26" s="18"/>
      <c r="O26" s="18"/>
      <c r="P26" s="18"/>
      <c r="Q26" s="18"/>
      <c r="R26" s="1"/>
      <c r="S26" s="1"/>
      <c r="T26" s="1"/>
      <c r="U26" s="1"/>
      <c r="V26" s="1"/>
      <c r="W26" s="1"/>
      <c r="X26" s="1"/>
      <c r="Y26" s="1"/>
    </row>
    <row r="28" spans="1:25" ht="33.950000000000003" customHeight="1">
      <c r="A28" s="32" t="s">
        <v>108</v>
      </c>
      <c r="B28" s="32"/>
      <c r="C28" s="32"/>
      <c r="D28" s="32"/>
      <c r="E28" s="32"/>
      <c r="F28" s="32"/>
      <c r="G28" s="32"/>
      <c r="H28" s="32"/>
      <c r="I28" s="32"/>
      <c r="J28" s="32"/>
      <c r="K28" s="32"/>
      <c r="L28" s="32"/>
      <c r="M28" s="32"/>
      <c r="N28" s="32"/>
      <c r="O28" s="32"/>
      <c r="P28" s="32"/>
      <c r="Q28" s="32"/>
      <c r="R28" s="32"/>
      <c r="S28" s="32"/>
      <c r="T28" s="32"/>
      <c r="U28" s="32"/>
      <c r="V28" s="32"/>
      <c r="W28" s="32"/>
      <c r="X28" s="32"/>
      <c r="Y28" s="32"/>
    </row>
  </sheetData>
  <mergeCells count="8">
    <mergeCell ref="A28:Y28"/>
    <mergeCell ref="A1:Y1"/>
    <mergeCell ref="A2:Y2"/>
    <mergeCell ref="A3:Y3"/>
    <mergeCell ref="A4:G4"/>
    <mergeCell ref="H4:J4"/>
    <mergeCell ref="K4:Q4"/>
    <mergeCell ref="R4:Y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25"/>
  <sheetViews>
    <sheetView topLeftCell="A7" workbookViewId="0">
      <selection sqref="A1:K1"/>
    </sheetView>
  </sheetViews>
  <sheetFormatPr defaultRowHeight="14.25"/>
  <cols>
    <col min="1" max="1" width="6" customWidth="1"/>
    <col min="2" max="2" width="12" customWidth="1"/>
    <col min="3" max="3" width="48" customWidth="1"/>
    <col min="4" max="4" width="26" customWidth="1"/>
    <col min="5" max="6" width="13" customWidth="1"/>
    <col min="7" max="7" width="14" customWidth="1"/>
    <col min="8" max="8" width="18" customWidth="1"/>
    <col min="9" max="9" width="38" customWidth="1"/>
    <col min="10" max="10" width="42" customWidth="1"/>
    <col min="11" max="11" width="40" customWidth="1"/>
  </cols>
  <sheetData>
    <row r="1" spans="1:11" ht="30" customHeight="1">
      <c r="A1" s="33" t="s">
        <v>109</v>
      </c>
      <c r="B1" s="33"/>
      <c r="C1" s="33"/>
      <c r="D1" s="33"/>
      <c r="E1" s="33"/>
      <c r="F1" s="33"/>
      <c r="G1" s="33"/>
      <c r="H1" s="33"/>
      <c r="I1" s="33"/>
      <c r="J1" s="33"/>
      <c r="K1" s="33"/>
    </row>
    <row r="2" spans="1:11" ht="24.95" customHeight="1">
      <c r="A2" s="34" t="s">
        <v>110</v>
      </c>
      <c r="B2" s="34"/>
      <c r="C2" s="34"/>
      <c r="D2" s="34"/>
      <c r="E2" s="34"/>
      <c r="F2" s="34"/>
      <c r="G2" s="34"/>
      <c r="H2" s="34"/>
      <c r="I2" s="34"/>
      <c r="J2" s="34"/>
      <c r="K2" s="34"/>
    </row>
    <row r="4" spans="1:11" ht="36" customHeight="1">
      <c r="A4" s="19" t="s">
        <v>34</v>
      </c>
      <c r="B4" s="19" t="s">
        <v>111</v>
      </c>
      <c r="C4" s="19" t="s">
        <v>112</v>
      </c>
      <c r="D4" s="19" t="s">
        <v>36</v>
      </c>
      <c r="E4" s="19" t="s">
        <v>113</v>
      </c>
      <c r="F4" s="19" t="s">
        <v>114</v>
      </c>
      <c r="G4" s="19" t="s">
        <v>115</v>
      </c>
      <c r="H4" s="19" t="s">
        <v>37</v>
      </c>
      <c r="I4" s="19" t="s">
        <v>116</v>
      </c>
      <c r="J4" s="19" t="s">
        <v>117</v>
      </c>
      <c r="K4" s="19" t="s">
        <v>118</v>
      </c>
    </row>
    <row r="5" spans="1:11" ht="45.95" customHeight="1">
      <c r="A5" s="18" t="s">
        <v>59</v>
      </c>
      <c r="B5" s="11" t="s">
        <v>119</v>
      </c>
      <c r="C5" s="11" t="s">
        <v>60</v>
      </c>
      <c r="D5" s="11" t="s">
        <v>61</v>
      </c>
      <c r="E5" s="18">
        <v>1</v>
      </c>
      <c r="F5" s="18">
        <v>1</v>
      </c>
      <c r="G5" s="18">
        <f t="shared" ref="G5:G25" si="0">F5-E5+1</f>
        <v>1</v>
      </c>
      <c r="H5" s="12" t="s">
        <v>8</v>
      </c>
      <c r="I5" s="11" t="s">
        <v>120</v>
      </c>
      <c r="J5" s="11" t="s">
        <v>121</v>
      </c>
      <c r="K5" s="11" t="s">
        <v>122</v>
      </c>
    </row>
    <row r="6" spans="1:11" ht="45.95" customHeight="1">
      <c r="A6" s="18" t="s">
        <v>63</v>
      </c>
      <c r="B6" s="11" t="s">
        <v>119</v>
      </c>
      <c r="C6" s="11" t="s">
        <v>64</v>
      </c>
      <c r="D6" s="11" t="s">
        <v>61</v>
      </c>
      <c r="E6" s="18">
        <v>1</v>
      </c>
      <c r="F6" s="18">
        <v>2</v>
      </c>
      <c r="G6" s="18">
        <f t="shared" si="0"/>
        <v>2</v>
      </c>
      <c r="H6" s="12" t="s">
        <v>8</v>
      </c>
      <c r="I6" s="11" t="s">
        <v>123</v>
      </c>
      <c r="J6" s="11" t="s">
        <v>124</v>
      </c>
      <c r="K6" s="11" t="s">
        <v>125</v>
      </c>
    </row>
    <row r="7" spans="1:11" ht="45.95" customHeight="1">
      <c r="A7" s="18" t="s">
        <v>65</v>
      </c>
      <c r="B7" s="11" t="s">
        <v>119</v>
      </c>
      <c r="C7" s="11" t="s">
        <v>66</v>
      </c>
      <c r="D7" s="11" t="s">
        <v>61</v>
      </c>
      <c r="E7" s="18">
        <v>2</v>
      </c>
      <c r="F7" s="18">
        <v>2</v>
      </c>
      <c r="G7" s="18">
        <f t="shared" si="0"/>
        <v>1</v>
      </c>
      <c r="H7" s="12" t="s">
        <v>8</v>
      </c>
      <c r="I7" s="11" t="s">
        <v>126</v>
      </c>
      <c r="J7" s="11" t="s">
        <v>127</v>
      </c>
      <c r="K7" s="11" t="s">
        <v>128</v>
      </c>
    </row>
    <row r="8" spans="1:11" ht="45.95" customHeight="1">
      <c r="A8" s="18" t="s">
        <v>67</v>
      </c>
      <c r="B8" s="11" t="s">
        <v>119</v>
      </c>
      <c r="C8" s="11" t="s">
        <v>68</v>
      </c>
      <c r="D8" s="11" t="s">
        <v>69</v>
      </c>
      <c r="E8" s="18">
        <v>2</v>
      </c>
      <c r="F8" s="18">
        <v>3</v>
      </c>
      <c r="G8" s="18">
        <f t="shared" si="0"/>
        <v>2</v>
      </c>
      <c r="H8" s="12" t="s">
        <v>8</v>
      </c>
      <c r="I8" s="11" t="s">
        <v>129</v>
      </c>
      <c r="J8" s="11" t="s">
        <v>130</v>
      </c>
      <c r="K8" s="11" t="s">
        <v>131</v>
      </c>
    </row>
    <row r="9" spans="1:11" ht="45.95" customHeight="1">
      <c r="A9" s="18" t="s">
        <v>70</v>
      </c>
      <c r="B9" s="11" t="s">
        <v>119</v>
      </c>
      <c r="C9" s="11" t="s">
        <v>71</v>
      </c>
      <c r="D9" s="11" t="s">
        <v>72</v>
      </c>
      <c r="E9" s="18">
        <v>2</v>
      </c>
      <c r="F9" s="18">
        <v>3</v>
      </c>
      <c r="G9" s="18">
        <f t="shared" si="0"/>
        <v>2</v>
      </c>
      <c r="H9" s="12" t="s">
        <v>8</v>
      </c>
      <c r="I9" s="11" t="s">
        <v>132</v>
      </c>
      <c r="J9" s="11" t="s">
        <v>133</v>
      </c>
      <c r="K9" s="11" t="s">
        <v>134</v>
      </c>
    </row>
    <row r="10" spans="1:11" ht="45.95" customHeight="1">
      <c r="A10" s="18" t="s">
        <v>73</v>
      </c>
      <c r="B10" s="11" t="s">
        <v>135</v>
      </c>
      <c r="C10" s="11" t="s">
        <v>74</v>
      </c>
      <c r="D10" s="11" t="s">
        <v>69</v>
      </c>
      <c r="E10" s="18">
        <v>4</v>
      </c>
      <c r="F10" s="18">
        <v>5</v>
      </c>
      <c r="G10" s="18">
        <f t="shared" si="0"/>
        <v>2</v>
      </c>
      <c r="H10" s="12" t="s">
        <v>8</v>
      </c>
      <c r="I10" s="11" t="s">
        <v>136</v>
      </c>
      <c r="J10" s="11" t="s">
        <v>137</v>
      </c>
      <c r="K10" s="11" t="s">
        <v>138</v>
      </c>
    </row>
    <row r="11" spans="1:11" ht="45.95" customHeight="1">
      <c r="A11" s="18" t="s">
        <v>75</v>
      </c>
      <c r="B11" s="11" t="s">
        <v>135</v>
      </c>
      <c r="C11" s="11" t="s">
        <v>76</v>
      </c>
      <c r="D11" s="11" t="s">
        <v>69</v>
      </c>
      <c r="E11" s="18">
        <v>6</v>
      </c>
      <c r="F11" s="18">
        <v>6</v>
      </c>
      <c r="G11" s="18">
        <f t="shared" si="0"/>
        <v>1</v>
      </c>
      <c r="H11" s="12" t="s">
        <v>8</v>
      </c>
      <c r="I11" s="11" t="s">
        <v>139</v>
      </c>
      <c r="J11" s="11" t="s">
        <v>140</v>
      </c>
      <c r="K11" s="11" t="s">
        <v>141</v>
      </c>
    </row>
    <row r="12" spans="1:11" ht="45.95" customHeight="1">
      <c r="A12" s="18" t="s">
        <v>77</v>
      </c>
      <c r="B12" s="11" t="s">
        <v>135</v>
      </c>
      <c r="C12" s="11" t="s">
        <v>78</v>
      </c>
      <c r="D12" s="11" t="s">
        <v>69</v>
      </c>
      <c r="E12" s="18">
        <v>4</v>
      </c>
      <c r="F12" s="18">
        <v>6</v>
      </c>
      <c r="G12" s="18">
        <f t="shared" si="0"/>
        <v>3</v>
      </c>
      <c r="H12" s="12" t="s">
        <v>8</v>
      </c>
      <c r="I12" s="11" t="s">
        <v>142</v>
      </c>
      <c r="J12" s="11" t="s">
        <v>143</v>
      </c>
      <c r="K12" s="11" t="s">
        <v>144</v>
      </c>
    </row>
    <row r="13" spans="1:11" ht="45.95" customHeight="1">
      <c r="A13" s="18" t="s">
        <v>79</v>
      </c>
      <c r="B13" s="11" t="s">
        <v>135</v>
      </c>
      <c r="C13" s="11" t="s">
        <v>80</v>
      </c>
      <c r="D13" s="11" t="s">
        <v>81</v>
      </c>
      <c r="E13" s="18">
        <v>6</v>
      </c>
      <c r="F13" s="18">
        <v>7</v>
      </c>
      <c r="G13" s="18">
        <f t="shared" si="0"/>
        <v>2</v>
      </c>
      <c r="H13" s="12" t="s">
        <v>8</v>
      </c>
      <c r="I13" s="11" t="s">
        <v>145</v>
      </c>
      <c r="J13" s="11" t="s">
        <v>146</v>
      </c>
      <c r="K13" s="11" t="s">
        <v>147</v>
      </c>
    </row>
    <row r="14" spans="1:11" ht="45.95" customHeight="1">
      <c r="A14" s="18" t="s">
        <v>82</v>
      </c>
      <c r="B14" s="11" t="s">
        <v>135</v>
      </c>
      <c r="C14" s="11" t="s">
        <v>83</v>
      </c>
      <c r="D14" s="11" t="s">
        <v>72</v>
      </c>
      <c r="E14" s="18">
        <v>7</v>
      </c>
      <c r="F14" s="18">
        <v>8</v>
      </c>
      <c r="G14" s="18">
        <f t="shared" si="0"/>
        <v>2</v>
      </c>
      <c r="H14" s="14" t="s">
        <v>11</v>
      </c>
      <c r="I14" s="11" t="s">
        <v>148</v>
      </c>
      <c r="J14" s="11" t="s">
        <v>149</v>
      </c>
      <c r="K14" s="11" t="s">
        <v>150</v>
      </c>
    </row>
    <row r="15" spans="1:11" ht="45.95" customHeight="1">
      <c r="A15" s="18" t="s">
        <v>84</v>
      </c>
      <c r="B15" s="11" t="s">
        <v>135</v>
      </c>
      <c r="C15" s="11" t="s">
        <v>85</v>
      </c>
      <c r="D15" s="11" t="s">
        <v>72</v>
      </c>
      <c r="E15" s="18">
        <v>7</v>
      </c>
      <c r="F15" s="18">
        <v>9</v>
      </c>
      <c r="G15" s="18">
        <f t="shared" si="0"/>
        <v>3</v>
      </c>
      <c r="H15" s="14" t="s">
        <v>11</v>
      </c>
      <c r="I15" s="11" t="s">
        <v>151</v>
      </c>
      <c r="J15" s="11" t="s">
        <v>152</v>
      </c>
      <c r="K15" s="11" t="s">
        <v>153</v>
      </c>
    </row>
    <row r="16" spans="1:11" ht="45.95" customHeight="1">
      <c r="A16" s="18" t="s">
        <v>86</v>
      </c>
      <c r="B16" s="11" t="s">
        <v>135</v>
      </c>
      <c r="C16" s="11" t="s">
        <v>87</v>
      </c>
      <c r="D16" s="11" t="s">
        <v>72</v>
      </c>
      <c r="E16" s="18">
        <v>7</v>
      </c>
      <c r="F16" s="18">
        <v>9</v>
      </c>
      <c r="G16" s="18">
        <f t="shared" si="0"/>
        <v>3</v>
      </c>
      <c r="H16" s="14" t="s">
        <v>11</v>
      </c>
      <c r="I16" s="11" t="s">
        <v>154</v>
      </c>
      <c r="J16" s="11" t="s">
        <v>155</v>
      </c>
      <c r="K16" s="11" t="s">
        <v>153</v>
      </c>
    </row>
    <row r="17" spans="1:11" ht="45.95" customHeight="1">
      <c r="A17" s="18" t="s">
        <v>88</v>
      </c>
      <c r="B17" s="11" t="s">
        <v>135</v>
      </c>
      <c r="C17" s="11" t="s">
        <v>89</v>
      </c>
      <c r="D17" s="11" t="s">
        <v>90</v>
      </c>
      <c r="E17" s="18">
        <v>7</v>
      </c>
      <c r="F17" s="18">
        <v>10</v>
      </c>
      <c r="G17" s="18">
        <f t="shared" si="0"/>
        <v>4</v>
      </c>
      <c r="H17" s="14" t="s">
        <v>11</v>
      </c>
      <c r="I17" s="11" t="s">
        <v>156</v>
      </c>
      <c r="J17" s="11" t="s">
        <v>157</v>
      </c>
      <c r="K17" s="11" t="s">
        <v>158</v>
      </c>
    </row>
    <row r="18" spans="1:11" ht="45.95" customHeight="1">
      <c r="A18" s="18" t="s">
        <v>91</v>
      </c>
      <c r="B18" s="11" t="s">
        <v>159</v>
      </c>
      <c r="C18" s="11" t="s">
        <v>92</v>
      </c>
      <c r="D18" s="11" t="s">
        <v>61</v>
      </c>
      <c r="E18" s="18">
        <v>11</v>
      </c>
      <c r="F18" s="18">
        <v>12</v>
      </c>
      <c r="G18" s="18">
        <f t="shared" si="0"/>
        <v>2</v>
      </c>
      <c r="H18" s="16" t="s">
        <v>14</v>
      </c>
      <c r="I18" s="11" t="s">
        <v>160</v>
      </c>
      <c r="J18" s="11" t="s">
        <v>161</v>
      </c>
      <c r="K18" s="11" t="s">
        <v>162</v>
      </c>
    </row>
    <row r="19" spans="1:11" ht="45.95" customHeight="1">
      <c r="A19" s="18" t="s">
        <v>93</v>
      </c>
      <c r="B19" s="11" t="s">
        <v>159</v>
      </c>
      <c r="C19" s="11" t="s">
        <v>94</v>
      </c>
      <c r="D19" s="11" t="s">
        <v>95</v>
      </c>
      <c r="E19" s="18">
        <v>11</v>
      </c>
      <c r="F19" s="18">
        <v>13</v>
      </c>
      <c r="G19" s="18">
        <f t="shared" si="0"/>
        <v>3</v>
      </c>
      <c r="H19" s="16" t="s">
        <v>14</v>
      </c>
      <c r="I19" s="11" t="s">
        <v>163</v>
      </c>
      <c r="J19" s="11" t="s">
        <v>164</v>
      </c>
      <c r="K19" s="11" t="s">
        <v>165</v>
      </c>
    </row>
    <row r="20" spans="1:11" ht="45.95" customHeight="1">
      <c r="A20" s="18" t="s">
        <v>96</v>
      </c>
      <c r="B20" s="11" t="s">
        <v>159</v>
      </c>
      <c r="C20" s="11" t="s">
        <v>97</v>
      </c>
      <c r="D20" s="11" t="s">
        <v>61</v>
      </c>
      <c r="E20" s="18">
        <v>12</v>
      </c>
      <c r="F20" s="18">
        <v>14</v>
      </c>
      <c r="G20" s="18">
        <f t="shared" si="0"/>
        <v>3</v>
      </c>
      <c r="H20" s="16" t="s">
        <v>14</v>
      </c>
      <c r="I20" s="11" t="s">
        <v>166</v>
      </c>
      <c r="J20" s="11" t="s">
        <v>167</v>
      </c>
      <c r="K20" s="11" t="s">
        <v>168</v>
      </c>
    </row>
    <row r="21" spans="1:11" ht="45.95" customHeight="1">
      <c r="A21" s="18" t="s">
        <v>98</v>
      </c>
      <c r="B21" s="11" t="s">
        <v>159</v>
      </c>
      <c r="C21" s="11" t="s">
        <v>99</v>
      </c>
      <c r="D21" s="11" t="s">
        <v>61</v>
      </c>
      <c r="E21" s="18">
        <v>14</v>
      </c>
      <c r="F21" s="18">
        <v>15</v>
      </c>
      <c r="G21" s="18">
        <f t="shared" si="0"/>
        <v>2</v>
      </c>
      <c r="H21" s="16" t="s">
        <v>14</v>
      </c>
      <c r="I21" s="11" t="s">
        <v>169</v>
      </c>
      <c r="J21" s="11" t="s">
        <v>170</v>
      </c>
      <c r="K21" s="11" t="s">
        <v>171</v>
      </c>
    </row>
    <row r="22" spans="1:11" ht="45.95" customHeight="1">
      <c r="A22" s="18" t="s">
        <v>100</v>
      </c>
      <c r="B22" s="11" t="s">
        <v>159</v>
      </c>
      <c r="C22" s="11" t="s">
        <v>101</v>
      </c>
      <c r="D22" s="11" t="s">
        <v>61</v>
      </c>
      <c r="E22" s="18">
        <v>11</v>
      </c>
      <c r="F22" s="18">
        <v>15</v>
      </c>
      <c r="G22" s="18">
        <f t="shared" si="0"/>
        <v>5</v>
      </c>
      <c r="H22" s="14" t="s">
        <v>11</v>
      </c>
      <c r="I22" s="11" t="s">
        <v>172</v>
      </c>
      <c r="J22" s="11" t="s">
        <v>173</v>
      </c>
      <c r="K22" s="11" t="s">
        <v>174</v>
      </c>
    </row>
    <row r="23" spans="1:11" ht="45.95" customHeight="1">
      <c r="A23" s="18" t="s">
        <v>102</v>
      </c>
      <c r="B23" s="11" t="s">
        <v>159</v>
      </c>
      <c r="C23" s="11" t="s">
        <v>103</v>
      </c>
      <c r="D23" s="11" t="s">
        <v>61</v>
      </c>
      <c r="E23" s="18">
        <v>15</v>
      </c>
      <c r="F23" s="18">
        <v>16</v>
      </c>
      <c r="G23" s="18">
        <f t="shared" si="0"/>
        <v>2</v>
      </c>
      <c r="H23" s="16" t="s">
        <v>14</v>
      </c>
      <c r="I23" s="11" t="s">
        <v>175</v>
      </c>
      <c r="J23" s="11" t="s">
        <v>176</v>
      </c>
      <c r="K23" s="11" t="s">
        <v>177</v>
      </c>
    </row>
    <row r="24" spans="1:11" ht="45.95" customHeight="1">
      <c r="A24" s="18" t="s">
        <v>104</v>
      </c>
      <c r="B24" s="11" t="s">
        <v>159</v>
      </c>
      <c r="C24" s="11" t="s">
        <v>105</v>
      </c>
      <c r="D24" s="11" t="s">
        <v>81</v>
      </c>
      <c r="E24" s="18">
        <v>16</v>
      </c>
      <c r="F24" s="18">
        <v>17</v>
      </c>
      <c r="G24" s="18">
        <f t="shared" si="0"/>
        <v>2</v>
      </c>
      <c r="H24" s="17" t="s">
        <v>15</v>
      </c>
      <c r="I24" s="11" t="s">
        <v>178</v>
      </c>
      <c r="J24" s="11" t="s">
        <v>179</v>
      </c>
      <c r="K24" s="11" t="s">
        <v>180</v>
      </c>
    </row>
    <row r="25" spans="1:11" ht="45.95" customHeight="1">
      <c r="A25" s="18" t="s">
        <v>106</v>
      </c>
      <c r="B25" s="11" t="s">
        <v>159</v>
      </c>
      <c r="C25" s="11" t="s">
        <v>107</v>
      </c>
      <c r="D25" s="11" t="s">
        <v>61</v>
      </c>
      <c r="E25" s="18">
        <v>18</v>
      </c>
      <c r="F25" s="18">
        <v>18</v>
      </c>
      <c r="G25" s="18">
        <f t="shared" si="0"/>
        <v>1</v>
      </c>
      <c r="H25" s="16" t="s">
        <v>14</v>
      </c>
      <c r="I25" s="11" t="s">
        <v>181</v>
      </c>
      <c r="J25" s="11" t="s">
        <v>182</v>
      </c>
      <c r="K25" s="11" t="s">
        <v>183</v>
      </c>
    </row>
  </sheetData>
  <mergeCells count="2">
    <mergeCell ref="A1:K1"/>
    <mergeCell ref="A2:K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11"/>
  <sheetViews>
    <sheetView workbookViewId="0">
      <selection sqref="A1:G1"/>
    </sheetView>
  </sheetViews>
  <sheetFormatPr defaultRowHeight="14.25"/>
  <cols>
    <col min="1" max="1" width="23" customWidth="1"/>
    <col min="2" max="2" width="36" customWidth="1"/>
    <col min="3" max="3" width="48" customWidth="1"/>
    <col min="4" max="4" width="22" customWidth="1"/>
    <col min="5" max="5" width="28" customWidth="1"/>
    <col min="6" max="6" width="38" customWidth="1"/>
    <col min="7" max="7" width="40" customWidth="1"/>
  </cols>
  <sheetData>
    <row r="1" spans="1:7" ht="30" customHeight="1">
      <c r="A1" s="33" t="s">
        <v>184</v>
      </c>
      <c r="B1" s="33"/>
      <c r="C1" s="33"/>
      <c r="D1" s="33"/>
      <c r="E1" s="33"/>
      <c r="F1" s="33"/>
      <c r="G1" s="33"/>
    </row>
    <row r="2" spans="1:7" ht="24.95" customHeight="1">
      <c r="A2" s="34" t="s">
        <v>185</v>
      </c>
      <c r="B2" s="34"/>
      <c r="C2" s="34"/>
      <c r="D2" s="34"/>
      <c r="E2" s="34"/>
      <c r="F2" s="34"/>
      <c r="G2" s="34"/>
    </row>
    <row r="4" spans="1:7" ht="36" customHeight="1">
      <c r="A4" s="19" t="s">
        <v>186</v>
      </c>
      <c r="B4" s="19" t="s">
        <v>187</v>
      </c>
      <c r="C4" s="19" t="s">
        <v>188</v>
      </c>
      <c r="D4" s="19" t="s">
        <v>4</v>
      </c>
      <c r="E4" s="19" t="s">
        <v>189</v>
      </c>
      <c r="F4" s="19" t="s">
        <v>190</v>
      </c>
      <c r="G4" s="19" t="s">
        <v>191</v>
      </c>
    </row>
    <row r="5" spans="1:7" ht="72" customHeight="1">
      <c r="A5" s="11" t="s">
        <v>192</v>
      </c>
      <c r="B5" s="11" t="s">
        <v>193</v>
      </c>
      <c r="C5" s="11" t="s">
        <v>194</v>
      </c>
      <c r="D5" s="11" t="s">
        <v>8</v>
      </c>
      <c r="E5" s="11" t="s">
        <v>195</v>
      </c>
      <c r="F5" s="11" t="s">
        <v>196</v>
      </c>
      <c r="G5" s="11" t="s">
        <v>197</v>
      </c>
    </row>
    <row r="6" spans="1:7" ht="72" customHeight="1">
      <c r="A6" s="11" t="s">
        <v>198</v>
      </c>
      <c r="B6" s="11" t="s">
        <v>199</v>
      </c>
      <c r="C6" s="11" t="s">
        <v>200</v>
      </c>
      <c r="D6" s="11" t="s">
        <v>8</v>
      </c>
      <c r="E6" s="11" t="s">
        <v>46</v>
      </c>
      <c r="F6" s="11" t="s">
        <v>201</v>
      </c>
      <c r="G6" s="11" t="s">
        <v>202</v>
      </c>
    </row>
    <row r="7" spans="1:7" ht="72" customHeight="1">
      <c r="A7" s="11" t="s">
        <v>203</v>
      </c>
      <c r="B7" s="11" t="s">
        <v>204</v>
      </c>
      <c r="C7" s="11" t="s">
        <v>205</v>
      </c>
      <c r="D7" s="11" t="s">
        <v>11</v>
      </c>
      <c r="E7" s="11" t="s">
        <v>206</v>
      </c>
      <c r="F7" s="11" t="s">
        <v>207</v>
      </c>
      <c r="G7" s="11" t="s">
        <v>208</v>
      </c>
    </row>
    <row r="8" spans="1:7" ht="72" customHeight="1">
      <c r="A8" s="11" t="s">
        <v>209</v>
      </c>
      <c r="B8" s="11" t="s">
        <v>210</v>
      </c>
      <c r="C8" s="11" t="s">
        <v>211</v>
      </c>
      <c r="D8" s="11" t="s">
        <v>11</v>
      </c>
      <c r="E8" s="11" t="s">
        <v>212</v>
      </c>
      <c r="F8" s="11" t="s">
        <v>213</v>
      </c>
      <c r="G8" s="11" t="s">
        <v>214</v>
      </c>
    </row>
    <row r="9" spans="1:7" ht="72" customHeight="1">
      <c r="A9" s="11" t="s">
        <v>215</v>
      </c>
      <c r="B9" s="11" t="s">
        <v>216</v>
      </c>
      <c r="C9" s="11" t="s">
        <v>217</v>
      </c>
      <c r="D9" s="11" t="s">
        <v>11</v>
      </c>
      <c r="E9" s="11" t="s">
        <v>218</v>
      </c>
      <c r="F9" s="11" t="s">
        <v>219</v>
      </c>
      <c r="G9" s="11" t="s">
        <v>220</v>
      </c>
    </row>
    <row r="10" spans="1:7" ht="72" customHeight="1">
      <c r="A10" s="11" t="s">
        <v>221</v>
      </c>
      <c r="B10" s="11" t="s">
        <v>222</v>
      </c>
      <c r="C10" s="11" t="s">
        <v>223</v>
      </c>
      <c r="D10" s="11" t="s">
        <v>224</v>
      </c>
      <c r="E10" s="11" t="s">
        <v>225</v>
      </c>
      <c r="F10" s="11" t="s">
        <v>226</v>
      </c>
      <c r="G10" s="11" t="s">
        <v>227</v>
      </c>
    </row>
    <row r="11" spans="1:7" ht="72" customHeight="1">
      <c r="A11" s="11" t="s">
        <v>228</v>
      </c>
      <c r="B11" s="11" t="s">
        <v>229</v>
      </c>
      <c r="C11" s="11" t="s">
        <v>230</v>
      </c>
      <c r="D11" s="11" t="s">
        <v>231</v>
      </c>
      <c r="E11" s="11" t="s">
        <v>232</v>
      </c>
      <c r="F11" s="11" t="s">
        <v>233</v>
      </c>
      <c r="G11" s="11" t="s">
        <v>234</v>
      </c>
    </row>
  </sheetData>
  <mergeCells count="2">
    <mergeCell ref="A1:G1"/>
    <mergeCell ref="A2:G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Resumen</vt:lpstr>
      <vt:lpstr>Carta Gantt</vt:lpstr>
      <vt:lpstr>Detalle y evidencias</vt:lpstr>
      <vt:lpstr>Ajustes F1-F2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CAMILO . PONCE HARBOE</cp:lastModifiedBy>
  <dcterms:modified xsi:type="dcterms:W3CDTF">2026-10-09T00:27:01Z</dcterms:modified>
</cp:coreProperties>
</file>